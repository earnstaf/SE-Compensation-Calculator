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laude Projects\SE Compensation Calculator\"/>
    </mc:Choice>
  </mc:AlternateContent>
  <xr:revisionPtr revIDLastSave="0" documentId="8_{46805924-D209-4984-B4E2-4A25699EFB28}" xr6:coauthVersionLast="47" xr6:coauthVersionMax="47" xr10:uidLastSave="{00000000-0000-0000-0000-000000000000}"/>
  <bookViews>
    <workbookView xWindow="38085" yWindow="-21720" windowWidth="38640" windowHeight="21120" firstSheet="2" activeTab="3" xr2:uid="{A87F8EC9-E14B-47D3-A03C-E750C4401EAE}"/>
  </bookViews>
  <sheets>
    <sheet name="SE Examples" sheetId="1" state="hidden" r:id="rId1"/>
    <sheet name="SE Calculation Example" sheetId="2" r:id="rId2"/>
    <sheet name="Scenario 1" sheetId="3" r:id="rId3"/>
    <sheet name="Scenario 2" sheetId="4" r:id="rId4"/>
    <sheet name="Scenario 3" sheetId="5" r:id="rId5"/>
    <sheet name="Scenario 4" sheetId="6" r:id="rId6"/>
    <sheet name="Draw Example" sheetId="7" r:id="rId7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7" l="1"/>
  <c r="H12" i="7"/>
  <c r="G12" i="7"/>
  <c r="L11" i="7"/>
  <c r="H11" i="7"/>
  <c r="N9" i="7"/>
  <c r="N12" i="7" s="1"/>
  <c r="M9" i="7"/>
  <c r="M12" i="7" s="1"/>
  <c r="L9" i="7"/>
  <c r="L12" i="7" s="1"/>
  <c r="K9" i="7"/>
  <c r="K12" i="7" s="1"/>
  <c r="H9" i="7"/>
  <c r="G9" i="7"/>
  <c r="G11" i="7" s="1"/>
  <c r="F9" i="7"/>
  <c r="F12" i="7" s="1"/>
  <c r="E9" i="7"/>
  <c r="E11" i="7" s="1"/>
  <c r="D9" i="7"/>
  <c r="O8" i="7"/>
  <c r="B7" i="7"/>
  <c r="C7" i="7" s="1"/>
  <c r="B3" i="7"/>
  <c r="B2" i="7"/>
  <c r="C10" i="7" l="1"/>
  <c r="C11" i="7" s="1"/>
  <c r="D7" i="7"/>
  <c r="D10" i="7" s="1"/>
  <c r="K11" i="7"/>
  <c r="D11" i="7"/>
  <c r="M11" i="7"/>
  <c r="N11" i="7"/>
  <c r="B10" i="7"/>
  <c r="F11" i="7"/>
  <c r="O10" i="7" l="1"/>
  <c r="B11" i="7"/>
  <c r="O7" i="7"/>
  <c r="B13" i="7" l="1"/>
  <c r="C13" i="7" s="1"/>
  <c r="D13" i="7" s="1"/>
  <c r="E13" i="7" s="1"/>
  <c r="F13" i="7" s="1"/>
  <c r="G13" i="7" s="1"/>
  <c r="H13" i="7" s="1"/>
  <c r="I13" i="7" s="1"/>
  <c r="J9" i="7" s="1"/>
  <c r="J12" i="7" l="1"/>
  <c r="O12" i="7" s="1"/>
  <c r="O13" i="7" s="1"/>
  <c r="J11" i="7"/>
  <c r="O11" i="7" s="1"/>
  <c r="O9" i="7"/>
  <c r="B12" i="6" l="1"/>
  <c r="B13" i="6" s="1"/>
  <c r="B14" i="6" s="1"/>
  <c r="B5" i="6"/>
  <c r="B3" i="6"/>
  <c r="B15" i="5"/>
  <c r="B12" i="5"/>
  <c r="B13" i="5" s="1"/>
  <c r="B5" i="5"/>
  <c r="B3" i="5"/>
  <c r="B13" i="4"/>
  <c r="B15" i="4"/>
  <c r="B12" i="4"/>
  <c r="B5" i="4"/>
  <c r="B3" i="4"/>
  <c r="B12" i="3"/>
  <c r="B13" i="3" s="1"/>
  <c r="B17" i="6" l="1"/>
  <c r="B18" i="6" s="1"/>
  <c r="B20" i="6"/>
  <c r="B21" i="6" s="1"/>
  <c r="B23" i="6" s="1"/>
  <c r="B15" i="6"/>
  <c r="B16" i="5"/>
  <c r="B16" i="4"/>
  <c r="B5" i="3"/>
  <c r="B3" i="3"/>
  <c r="B15" i="3" s="1"/>
  <c r="B16" i="3" s="1"/>
  <c r="C10" i="2"/>
  <c r="C7" i="2"/>
  <c r="F14" i="2" s="1"/>
  <c r="C5" i="2"/>
  <c r="C6" i="2" s="1"/>
  <c r="F11" i="2" s="1"/>
  <c r="C4" i="2"/>
  <c r="K10" i="1"/>
  <c r="H10" i="1"/>
  <c r="E10" i="1"/>
  <c r="B10" i="1"/>
  <c r="H7" i="1"/>
  <c r="B7" i="1"/>
  <c r="H3" i="1"/>
  <c r="H5" i="1" s="1"/>
  <c r="B3" i="1"/>
  <c r="B5" i="1" s="1"/>
  <c r="H2" i="1"/>
  <c r="B2" i="1"/>
  <c r="C14" i="2" l="1"/>
  <c r="F10" i="2"/>
  <c r="F12" i="2" s="1"/>
  <c r="C15" i="2"/>
  <c r="C16" i="2" s="1"/>
  <c r="F15" i="2"/>
  <c r="F16" i="2" s="1"/>
  <c r="C11" i="2"/>
  <c r="C12" i="2" s="1"/>
  <c r="K11" i="1"/>
  <c r="K12" i="1" s="1"/>
  <c r="H11" i="1"/>
  <c r="H12" i="1" s="1"/>
  <c r="H14" i="1" s="1"/>
  <c r="H15" i="1" s="1"/>
  <c r="E11" i="1"/>
  <c r="E12" i="1" s="1"/>
  <c r="B11" i="1"/>
  <c r="B12" i="1" s="1"/>
  <c r="B14" i="1" s="1"/>
  <c r="B15" i="1" s="1"/>
  <c r="C18" i="2" l="1"/>
  <c r="C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Hawk</author>
  </authors>
  <commentList>
    <comment ref="B1" authorId="0" shapeId="0" xr:uid="{8F80207E-6CD7-412A-AC1F-892A7E3CC620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"On Target Earnings"</t>
        </r>
      </text>
    </comment>
    <comment ref="C1" authorId="0" shapeId="0" xr:uid="{1E99EC50-FDBA-473B-8DD2-5A7885233479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Enter Salary + On Target Variable here</t>
        </r>
      </text>
    </comment>
    <comment ref="F1" authorId="0" shapeId="0" xr:uid="{5A0DB148-8449-4290-B0A3-52AAFD122E64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These uplifts are estimates only and are subject to change. See individual compensation plan for actual amounts</t>
        </r>
      </text>
    </comment>
    <comment ref="C2" authorId="0" shapeId="0" xr:uid="{1C319584-2C3D-4489-9E26-35F9864ABDFD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Enter in your NARR quota here</t>
        </r>
      </text>
    </comment>
    <comment ref="F2" authorId="0" shapeId="0" xr:uid="{88B02B5D-DB1B-4569-BC70-71F5EBE57610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These uplifts are estimates only and are subject to change. See individual compensation plan for actual amounts</t>
        </r>
      </text>
    </comment>
    <comment ref="C3" authorId="0" shapeId="0" xr:uid="{A9EFFC58-C21A-4C23-BCBB-74732CA6009C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Enter in your NARR Attainment percentage here</t>
        </r>
      </text>
    </comment>
    <comment ref="F3" authorId="0" shapeId="0" xr:uid="{5E3458F2-0D0E-4F65-9A7D-27D4D22BF920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These uplifts are estimates only and are subject to change. See individual compensation plan for actual amounts</t>
        </r>
      </text>
    </comment>
    <comment ref="C4" authorId="0" shapeId="0" xr:uid="{E6937306-9376-46AB-8D61-28A4066E4413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80% OTE</t>
        </r>
      </text>
    </comment>
    <comment ref="B5" authorId="0" shapeId="0" xr:uid="{720401B6-D668-42FB-8A51-4D6B740DFB69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"On Target Variable"</t>
        </r>
      </text>
    </comment>
    <comment ref="C5" authorId="0" shapeId="0" xr:uid="{8FC007BF-3517-48DA-B224-B0F3CA780568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20% OTE</t>
        </r>
      </text>
    </comment>
    <comment ref="B6" authorId="0" shapeId="0" xr:uid="{84044A26-D3C7-438E-BDDB-4A7543CB30F3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"Personal Commission Rate"</t>
        </r>
      </text>
    </comment>
    <comment ref="C6" authorId="0" shapeId="0" xr:uid="{209E9096-33CB-4E05-BB9F-F8D430478272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OTV / NARR Quota</t>
        </r>
      </text>
    </comment>
    <comment ref="C7" authorId="0" shapeId="0" xr:uid="{5ABEDD1F-D126-489E-913A-7640D578DA35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NARR Attainment * NARR Quota</t>
        </r>
      </text>
    </comment>
    <comment ref="C10" authorId="0" shapeId="0" xr:uid="{15C63CB4-D4CA-46A9-9A7E-F5EFF404BC10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Assumes 78% of NARR deals are 1-2 years in duration</t>
        </r>
      </text>
    </comment>
    <comment ref="F10" authorId="0" shapeId="0" xr:uid="{98BF22C5-AE2A-41A6-B3F5-B96597CF4F5B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Assumes 22% of NARR deals are 3+ years in duration</t>
        </r>
      </text>
    </comment>
    <comment ref="C11" authorId="0" shapeId="0" xr:uid="{0CEE839B-1140-40A9-8BA9-E744D4FCB840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PCR + NARR Uplift</t>
        </r>
      </text>
    </comment>
    <comment ref="F11" authorId="0" shapeId="0" xr:uid="{C5519A0D-63DF-4902-9224-0E3647650690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PCR + NARR Uplift + 3+ Year Uplift</t>
        </r>
      </text>
    </comment>
    <comment ref="C12" authorId="0" shapeId="0" xr:uid="{22C53761-0AE6-4752-87C0-F7A4ABF52101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Commission Rate * 1-2 Year NARR</t>
        </r>
      </text>
    </comment>
    <comment ref="F12" authorId="0" shapeId="0" xr:uid="{B279B18E-7C1A-47F7-A57F-BF42E6A41DAE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Commission Rate * 3+ Year NARR</t>
        </r>
      </text>
    </comment>
    <comment ref="C14" authorId="0" shapeId="0" xr:uid="{D2009112-A2E4-4F79-BA14-BEB836693401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Assumes 78% NARR deals are 1-2 years in duration</t>
        </r>
      </text>
    </comment>
    <comment ref="F14" authorId="0" shapeId="0" xr:uid="{DBF43918-51D5-49F1-B6B6-3A84AB9941BA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Assumes 22% of NARR deals are 3+ years in duration</t>
        </r>
      </text>
    </comment>
    <comment ref="C15" authorId="0" shapeId="0" xr:uid="{1046A19E-88F7-4A5B-83AE-95B84D8C4C3F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PCR + NARR Uplift + Overachievement Uplift</t>
        </r>
      </text>
    </comment>
    <comment ref="F15" authorId="0" shapeId="0" xr:uid="{9BABC4C0-D468-486C-959E-90ADB9AB0A46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PCR + NARR Uplift + 3+ Year Uplift + Overachievement Uplift</t>
        </r>
      </text>
    </comment>
    <comment ref="C16" authorId="0" shapeId="0" xr:uid="{CBF4377E-2A1D-4020-AE04-3A1B3BCC929F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Commission Rate * 1-2 Year NARR</t>
        </r>
      </text>
    </comment>
    <comment ref="F16" authorId="0" shapeId="0" xr:uid="{8E41DC16-91E1-4ABB-894A-A13EED3593BE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Commission Rate * 3+ Year NARR</t>
        </r>
      </text>
    </comment>
    <comment ref="C18" authorId="0" shapeId="0" xr:uid="{B56CEA6A-CA58-4019-9256-8EDE45C1CB3E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Sum of cells C12, F12, C16, F16</t>
        </r>
      </text>
    </comment>
    <comment ref="C19" authorId="0" shapeId="0" xr:uid="{D9DE5E53-F004-4661-8E0E-FC6F608A210E}">
      <text>
        <r>
          <rPr>
            <b/>
            <sz val="9"/>
            <color indexed="81"/>
            <rFont val="Tahoma"/>
            <family val="2"/>
          </rPr>
          <t>Kim Hawk:</t>
        </r>
        <r>
          <rPr>
            <sz val="9"/>
            <color indexed="81"/>
            <rFont val="Tahoma"/>
            <family val="2"/>
          </rPr>
          <t xml:space="preserve">
Total Commissions / OTV</t>
        </r>
      </text>
    </comment>
  </commentList>
</comments>
</file>

<file path=xl/sharedStrings.xml><?xml version="1.0" encoding="utf-8"?>
<sst xmlns="http://schemas.openxmlformats.org/spreadsheetml/2006/main" count="213" uniqueCount="84">
  <si>
    <t>OTE</t>
  </si>
  <si>
    <t>NARR Uplift</t>
  </si>
  <si>
    <t>Salary</t>
  </si>
  <si>
    <t>3+ Year Uplift</t>
  </si>
  <si>
    <t>OTV</t>
  </si>
  <si>
    <t>NARR Quota</t>
  </si>
  <si>
    <t>PCR</t>
  </si>
  <si>
    <t>Total NARR</t>
  </si>
  <si>
    <t>NARR Attainment</t>
  </si>
  <si>
    <t>1-2 Year NARR</t>
  </si>
  <si>
    <t>3+ Year NARR</t>
  </si>
  <si>
    <t>Commission Rate</t>
  </si>
  <si>
    <t>Commissions</t>
  </si>
  <si>
    <t>Total Commissions</t>
  </si>
  <si>
    <t>Total OTV Attainment</t>
  </si>
  <si>
    <t>**Fill out green cells (C1, C2, C3) only**</t>
  </si>
  <si>
    <t>All other cells will calculate automatically</t>
  </si>
  <si>
    <t>Overachievement Uplift</t>
  </si>
  <si>
    <t>NARR Achievement</t>
  </si>
  <si>
    <t>&lt;=100% Achievement</t>
  </si>
  <si>
    <t>&gt;100% Achievement</t>
  </si>
  <si>
    <t>Mult-Year Uplift</t>
  </si>
  <si>
    <t>NARR Quota Credit</t>
  </si>
  <si>
    <t>NARR Quota Attainment</t>
  </si>
  <si>
    <t>ABC Opportunity</t>
  </si>
  <si>
    <t>IARR</t>
  </si>
  <si>
    <t>*ARR of expiring contract</t>
  </si>
  <si>
    <t>Renewed ARR</t>
  </si>
  <si>
    <t>*ARR being renewed on new opportunity</t>
  </si>
  <si>
    <t>CARR</t>
  </si>
  <si>
    <t>*Any module or license churn from the expiring contract</t>
  </si>
  <si>
    <t>New Module ARR</t>
  </si>
  <si>
    <t>*ARR associated with new module sold</t>
  </si>
  <si>
    <t>Day 1 ARR</t>
  </si>
  <si>
    <t>*Renewed ARR + New Module ARR</t>
  </si>
  <si>
    <t>NARR Quota Retirement</t>
  </si>
  <si>
    <t>*Day 1 ARR - IARR</t>
  </si>
  <si>
    <t>Deal Commission Rate</t>
  </si>
  <si>
    <t>*PCR + NARR Uplift</t>
  </si>
  <si>
    <t>Deal Commissions</t>
  </si>
  <si>
    <t>*Deal Commission Rate x NARR Quota Retirement</t>
  </si>
  <si>
    <t>XYZ Opportunity</t>
  </si>
  <si>
    <t>123 Opportunity</t>
  </si>
  <si>
    <t>New Logo ARR</t>
  </si>
  <si>
    <t>456 Opportunity</t>
  </si>
  <si>
    <r>
      <t xml:space="preserve">NARR Quota Retirement </t>
    </r>
    <r>
      <rPr>
        <b/>
        <sz val="9"/>
        <color theme="1"/>
        <rFont val="Aptos Narrow"/>
        <family val="2"/>
        <scheme val="minor"/>
      </rPr>
      <t>&lt;100% Achievement</t>
    </r>
  </si>
  <si>
    <t>*NARR Quota Retirement up to 100% NARR Quota</t>
  </si>
  <si>
    <r>
      <t xml:space="preserve">NARR Quota Retirement </t>
    </r>
    <r>
      <rPr>
        <b/>
        <sz val="9"/>
        <color theme="1"/>
        <rFont val="Aptos Narrow"/>
        <family val="2"/>
        <scheme val="minor"/>
      </rPr>
      <t>&gt;100% Achievement</t>
    </r>
  </si>
  <si>
    <t>*NARR Quota Retirement after 100% NARR Quota</t>
  </si>
  <si>
    <r>
      <t xml:space="preserve">Deal Commission Rate </t>
    </r>
    <r>
      <rPr>
        <sz val="9"/>
        <color theme="1"/>
        <rFont val="Aptos Narrow"/>
        <family val="2"/>
        <scheme val="minor"/>
      </rPr>
      <t>&lt;100% Achievement</t>
    </r>
  </si>
  <si>
    <r>
      <t xml:space="preserve">Deal Commissions </t>
    </r>
    <r>
      <rPr>
        <b/>
        <sz val="9"/>
        <color theme="1"/>
        <rFont val="Aptos Narrow"/>
        <family val="2"/>
        <scheme val="minor"/>
      </rPr>
      <t>&lt;100% Achievement</t>
    </r>
  </si>
  <si>
    <t>*Deal Commission Rate x NARR Quota Retirement &lt;100% Achievement</t>
  </si>
  <si>
    <r>
      <t xml:space="preserve">Deal Commission Rate </t>
    </r>
    <r>
      <rPr>
        <sz val="9"/>
        <color theme="1"/>
        <rFont val="Aptos Narrow"/>
        <family val="2"/>
        <scheme val="minor"/>
      </rPr>
      <t>&gt;100% Achievement</t>
    </r>
  </si>
  <si>
    <r>
      <t xml:space="preserve">Deal Commissions </t>
    </r>
    <r>
      <rPr>
        <b/>
        <sz val="9"/>
        <color theme="1"/>
        <rFont val="Aptos Narrow"/>
        <family val="2"/>
        <scheme val="minor"/>
      </rPr>
      <t>&gt;100% Achievement</t>
    </r>
  </si>
  <si>
    <t>*Deal Commission Rate x NARR Quota Retirement &gt;100% Achievement</t>
  </si>
  <si>
    <t>Total Deal Commissions</t>
  </si>
  <si>
    <t>Q1</t>
  </si>
  <si>
    <t>Q2</t>
  </si>
  <si>
    <t>Q3</t>
  </si>
  <si>
    <t>Q4</t>
  </si>
  <si>
    <t>FY26</t>
  </si>
  <si>
    <t>Commission Period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</si>
  <si>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</si>
  <si>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</si>
  <si>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</si>
  <si>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</si>
  <si>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</si>
  <si>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</si>
  <si>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</si>
  <si>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</si>
  <si>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</si>
  <si>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</si>
  <si>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</si>
  <si>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</si>
  <si>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Payment Period</t>
  </si>
  <si>
    <t>Total Guaranteed</t>
  </si>
  <si>
    <t>Commissions Earned</t>
  </si>
  <si>
    <t>Commissions Paid</t>
  </si>
  <si>
    <t>Draw Paid</t>
  </si>
  <si>
    <t>Draw + Commissions Paid</t>
  </si>
  <si>
    <t>Draw Recovered</t>
  </si>
  <si>
    <t>Draw Balance</t>
  </si>
  <si>
    <t>*PCR + NARR Uplift + New Logo Uplift</t>
  </si>
  <si>
    <t>*PCR + NARR Uplift + New Logo Uplift + Overachievement Uplift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</si>
</sst>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9" fontId="0" fillId="2" borderId="0" xfId="1" applyFont="1" applyFill="1"/>
    <xf numFmtId="164" fontId="0" fillId="3" borderId="0" xfId="0" applyNumberFormat="1" applyFill="1"/>
    <xf numFmtId="0" fontId="2" fillId="0" borderId="0" xfId="0" applyFont="1"/>
    <xf numFmtId="0" fontId="0" fillId="0" borderId="1" xfId="0" applyBorder="1"/>
    <xf numFmtId="164" fontId="0" fillId="2" borderId="2" xfId="0" applyNumberFormat="1" applyFill="1" applyBorder="1"/>
    <xf numFmtId="0" fontId="0" fillId="4" borderId="1" xfId="0" applyFill="1" applyBorder="1"/>
    <xf numFmtId="165" fontId="0" fillId="4" borderId="2" xfId="0" applyNumberFormat="1" applyFill="1" applyBorder="1"/>
    <xf numFmtId="0" fontId="0" fillId="0" borderId="3" xfId="0" applyBorder="1"/>
    <xf numFmtId="164" fontId="0" fillId="2" borderId="4" xfId="0" applyNumberFormat="1" applyFill="1" applyBorder="1"/>
    <xf numFmtId="0" fontId="0" fillId="4" borderId="3" xfId="0" applyFill="1" applyBorder="1"/>
    <xf numFmtId="165" fontId="0" fillId="4" borderId="4" xfId="0" applyNumberFormat="1" applyFill="1" applyBorder="1"/>
    <xf numFmtId="0" fontId="0" fillId="0" borderId="5" xfId="0" applyBorder="1"/>
    <xf numFmtId="9" fontId="0" fillId="2" borderId="6" xfId="1" applyFont="1" applyFill="1" applyBorder="1"/>
    <xf numFmtId="0" fontId="0" fillId="4" borderId="5" xfId="0" applyFill="1" applyBorder="1"/>
    <xf numFmtId="10" fontId="0" fillId="4" borderId="6" xfId="0" applyNumberFormat="1" applyFill="1" applyBorder="1"/>
    <xf numFmtId="164" fontId="0" fillId="4" borderId="2" xfId="0" applyNumberFormat="1" applyFill="1" applyBorder="1"/>
    <xf numFmtId="164" fontId="0" fillId="4" borderId="4" xfId="0" applyNumberFormat="1" applyFill="1" applyBorder="1"/>
    <xf numFmtId="10" fontId="0" fillId="4" borderId="4" xfId="1" applyNumberFormat="1" applyFont="1" applyFill="1" applyBorder="1"/>
    <xf numFmtId="164" fontId="0" fillId="4" borderId="6" xfId="0" applyNumberFormat="1" applyFill="1" applyBorder="1"/>
    <xf numFmtId="0" fontId="0" fillId="5" borderId="7" xfId="0" applyFill="1" applyBorder="1"/>
    <xf numFmtId="164" fontId="0" fillId="5" borderId="7" xfId="0" applyNumberFormat="1" applyFill="1" applyBorder="1"/>
    <xf numFmtId="164" fontId="0" fillId="5" borderId="2" xfId="0" applyNumberFormat="1" applyFill="1" applyBorder="1"/>
    <xf numFmtId="0" fontId="0" fillId="5" borderId="0" xfId="0" applyFill="1"/>
    <xf numFmtId="10" fontId="0" fillId="5" borderId="0" xfId="1" applyNumberFormat="1" applyFont="1" applyFill="1" applyBorder="1"/>
    <xf numFmtId="10" fontId="0" fillId="5" borderId="4" xfId="0" applyNumberFormat="1" applyFill="1" applyBorder="1"/>
    <xf numFmtId="0" fontId="0" fillId="5" borderId="8" xfId="0" applyFill="1" applyBorder="1"/>
    <xf numFmtId="164" fontId="0" fillId="5" borderId="8" xfId="0" applyNumberFormat="1" applyFill="1" applyBorder="1"/>
    <xf numFmtId="164" fontId="0" fillId="5" borderId="6" xfId="0" applyNumberFormat="1" applyFill="1" applyBorder="1"/>
    <xf numFmtId="0" fontId="0" fillId="6" borderId="7" xfId="0" applyFill="1" applyBorder="1"/>
    <xf numFmtId="164" fontId="0" fillId="6" borderId="7" xfId="0" applyNumberFormat="1" applyFill="1" applyBorder="1"/>
    <xf numFmtId="164" fontId="0" fillId="6" borderId="2" xfId="0" applyNumberFormat="1" applyFill="1" applyBorder="1"/>
    <xf numFmtId="0" fontId="0" fillId="6" borderId="0" xfId="0" applyFill="1"/>
    <xf numFmtId="10" fontId="0" fillId="6" borderId="0" xfId="1" applyNumberFormat="1" applyFont="1" applyFill="1" applyBorder="1"/>
    <xf numFmtId="10" fontId="0" fillId="6" borderId="4" xfId="0" applyNumberFormat="1" applyFill="1" applyBorder="1"/>
    <xf numFmtId="0" fontId="0" fillId="6" borderId="8" xfId="0" applyFill="1" applyBorder="1"/>
    <xf numFmtId="164" fontId="0" fillId="6" borderId="8" xfId="0" applyNumberFormat="1" applyFill="1" applyBorder="1"/>
    <xf numFmtId="164" fontId="0" fillId="6" borderId="6" xfId="0" applyNumberFormat="1" applyFill="1" applyBorder="1"/>
    <xf numFmtId="0" fontId="0" fillId="0" borderId="0" xfId="0" applyAlignment="1">
      <alignment horizontal="center" wrapText="1"/>
    </xf>
    <xf numFmtId="164" fontId="0" fillId="3" borderId="2" xfId="0" applyNumberFormat="1" applyFill="1" applyBorder="1"/>
    <xf numFmtId="10" fontId="0" fillId="4" borderId="6" xfId="1" applyNumberFormat="1" applyFont="1" applyFill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1" applyNumberFormat="1" applyFont="1" applyBorder="1" applyAlignment="1">
      <alignment horizontal="left"/>
    </xf>
    <xf numFmtId="164" fontId="0" fillId="0" borderId="9" xfId="0" applyNumberFormat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2" fillId="3" borderId="9" xfId="0" applyFont="1" applyFill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64" fontId="2" fillId="6" borderId="9" xfId="0" applyNumberFormat="1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164" fontId="2" fillId="7" borderId="9" xfId="0" applyNumberFormat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38" fontId="0" fillId="4" borderId="9" xfId="2" applyNumberFormat="1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40" fontId="0" fillId="4" borderId="9" xfId="2" applyNumberFormat="1" applyFont="1" applyFill="1" applyBorder="1" applyAlignment="1">
      <alignment horizontal="center"/>
    </xf>
    <xf numFmtId="40" fontId="0" fillId="5" borderId="9" xfId="2" applyNumberFormat="1" applyFont="1" applyFill="1" applyBorder="1" applyAlignment="1">
      <alignment horizontal="center"/>
    </xf>
    <xf numFmtId="40" fontId="0" fillId="7" borderId="9" xfId="2" applyNumberFormat="1" applyFont="1" applyFill="1" applyBorder="1" applyAlignment="1">
      <alignment horizontal="center"/>
    </xf>
    <xf numFmtId="40" fontId="0" fillId="6" borderId="9" xfId="2" applyNumberFormat="1" applyFont="1" applyFill="1" applyBorder="1" applyAlignment="1">
      <alignment horizontal="center"/>
    </xf>
    <xf numFmtId="40" fontId="0" fillId="8" borderId="9" xfId="2" applyNumberFormat="1" applyFont="1" applyFill="1" applyBorder="1" applyAlignment="1">
      <alignment horizontal="center"/>
    </xf>
    <xf numFmtId="40" fontId="2" fillId="9" borderId="9" xfId="0" applyNumberFormat="1" applyFont="1" applyFill="1" applyBorder="1" applyAlignment="1">
      <alignment horizontal="center"/>
    </xf>
    <xf numFmtId="40" fontId="0" fillId="0" borderId="0" xfId="0" applyNumberFormat="1"/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2" fillId="9" borderId="9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35-757F-4E85-9053-F612F966B77D}">
  <dimension ref="A1:K15"/>
  <sheetViews>
    <sheetView workbookViewId="0">
      <selection activeCell="N3" sqref="N3"/>
    </sheetView>
  </sheetViews>
  <sheetFormatPr defaultRowHeight="15" x14ac:dyDescent="0.25"/>
  <cols>
    <col min="1" max="1" width="20.28515625" bestFit="1" customWidth="1"/>
    <col min="2" max="2" width="14.5703125" bestFit="1" customWidth="1"/>
    <col min="4" max="4" width="15.140625" bestFit="1" customWidth="1"/>
    <col min="5" max="5" width="19.28515625" customWidth="1"/>
    <col min="7" max="7" width="18.140625" bestFit="1" customWidth="1"/>
    <col min="8" max="8" width="17.7109375" customWidth="1"/>
    <col min="10" max="10" width="15.140625" bestFit="1" customWidth="1"/>
    <col min="11" max="11" width="17.42578125" customWidth="1"/>
  </cols>
  <sheetData>
    <row r="1" spans="1:11" x14ac:dyDescent="0.25">
      <c r="A1" t="s">
        <v>0</v>
      </c>
      <c r="B1" s="1">
        <v>200000</v>
      </c>
      <c r="D1" t="s">
        <v>1</v>
      </c>
      <c r="E1" s="2">
        <v>5.0000000000000001E-4</v>
      </c>
      <c r="G1" t="s">
        <v>0</v>
      </c>
      <c r="H1" s="1">
        <v>200000</v>
      </c>
      <c r="J1" t="s">
        <v>1</v>
      </c>
      <c r="K1" s="2">
        <v>5.0000000000000001E-4</v>
      </c>
    </row>
    <row r="2" spans="1:11" x14ac:dyDescent="0.25">
      <c r="A2" t="s">
        <v>2</v>
      </c>
      <c r="B2" s="3">
        <f>B1*0.8</f>
        <v>160000</v>
      </c>
      <c r="D2" t="s">
        <v>3</v>
      </c>
      <c r="E2" s="2">
        <v>5.0000000000000001E-4</v>
      </c>
      <c r="G2" t="s">
        <v>2</v>
      </c>
      <c r="H2" s="3">
        <f>H1*0.8</f>
        <v>160000</v>
      </c>
      <c r="J2" t="s">
        <v>3</v>
      </c>
      <c r="K2" s="2">
        <v>5.0000000000000001E-4</v>
      </c>
    </row>
    <row r="3" spans="1:11" x14ac:dyDescent="0.25">
      <c r="A3" t="s">
        <v>4</v>
      </c>
      <c r="B3" s="3">
        <f>B1*0.2</f>
        <v>40000</v>
      </c>
      <c r="G3" t="s">
        <v>4</v>
      </c>
      <c r="H3" s="3">
        <f>H1*0.2</f>
        <v>40000</v>
      </c>
      <c r="K3" s="2"/>
    </row>
    <row r="4" spans="1:11" x14ac:dyDescent="0.25">
      <c r="A4" t="s">
        <v>5</v>
      </c>
      <c r="B4" s="1">
        <v>10000000</v>
      </c>
      <c r="G4" t="s">
        <v>5</v>
      </c>
      <c r="H4" s="1">
        <v>10000000</v>
      </c>
    </row>
    <row r="5" spans="1:11" x14ac:dyDescent="0.25">
      <c r="A5" t="s">
        <v>6</v>
      </c>
      <c r="B5" s="4">
        <f>B3/B4</f>
        <v>4.0000000000000001E-3</v>
      </c>
      <c r="G5" t="s">
        <v>6</v>
      </c>
      <c r="H5" s="4">
        <f>H3/H4</f>
        <v>4.0000000000000001E-3</v>
      </c>
    </row>
    <row r="6" spans="1:11" x14ac:dyDescent="0.25">
      <c r="D6" s="5"/>
    </row>
    <row r="7" spans="1:11" x14ac:dyDescent="0.25">
      <c r="A7" t="s">
        <v>7</v>
      </c>
      <c r="B7" s="3">
        <f>B4*B8</f>
        <v>10000000</v>
      </c>
      <c r="G7" t="s">
        <v>7</v>
      </c>
      <c r="H7" s="3">
        <f>H4*H8</f>
        <v>8700000</v>
      </c>
    </row>
    <row r="8" spans="1:11" x14ac:dyDescent="0.25">
      <c r="A8" t="s">
        <v>8</v>
      </c>
      <c r="B8" s="6">
        <v>1</v>
      </c>
      <c r="G8" t="s">
        <v>8</v>
      </c>
      <c r="H8" s="6">
        <v>0.87</v>
      </c>
    </row>
    <row r="10" spans="1:11" x14ac:dyDescent="0.25">
      <c r="A10" t="s">
        <v>9</v>
      </c>
      <c r="B10" s="3">
        <f>B4*0.78</f>
        <v>7800000</v>
      </c>
      <c r="D10" t="s">
        <v>10</v>
      </c>
      <c r="E10" s="3">
        <f>B7*0.22</f>
        <v>2200000</v>
      </c>
      <c r="G10" t="s">
        <v>9</v>
      </c>
      <c r="H10" s="3">
        <f>H7*0.78</f>
        <v>6786000</v>
      </c>
      <c r="J10" t="s">
        <v>10</v>
      </c>
      <c r="K10" s="3">
        <f>H7*0.22</f>
        <v>1914000</v>
      </c>
    </row>
    <row r="11" spans="1:11" x14ac:dyDescent="0.25">
      <c r="A11" t="s">
        <v>11</v>
      </c>
      <c r="B11" s="4">
        <f>B5+E1</f>
        <v>4.5000000000000005E-3</v>
      </c>
      <c r="D11" t="s">
        <v>11</v>
      </c>
      <c r="E11" s="5">
        <f>B5+E1+E2</f>
        <v>5.000000000000001E-3</v>
      </c>
      <c r="G11" t="s">
        <v>11</v>
      </c>
      <c r="H11" s="4">
        <f>H5+K1</f>
        <v>4.5000000000000005E-3</v>
      </c>
      <c r="J11" t="s">
        <v>11</v>
      </c>
      <c r="K11" s="5">
        <f>H5+K1+K2</f>
        <v>5.000000000000001E-3</v>
      </c>
    </row>
    <row r="12" spans="1:11" x14ac:dyDescent="0.25">
      <c r="A12" t="s">
        <v>12</v>
      </c>
      <c r="B12" s="3">
        <f>B11*B10</f>
        <v>35100.000000000007</v>
      </c>
      <c r="D12" t="s">
        <v>12</v>
      </c>
      <c r="E12" s="3">
        <f>E11*E10</f>
        <v>11000.000000000002</v>
      </c>
      <c r="G12" t="s">
        <v>12</v>
      </c>
      <c r="H12" s="3">
        <f>H11*H10</f>
        <v>30537.000000000004</v>
      </c>
      <c r="J12" t="s">
        <v>12</v>
      </c>
      <c r="K12" s="3">
        <f>K11*K10</f>
        <v>9570.0000000000018</v>
      </c>
    </row>
    <row r="14" spans="1:11" x14ac:dyDescent="0.25">
      <c r="A14" t="s">
        <v>13</v>
      </c>
      <c r="B14" s="7">
        <f>B12+E12</f>
        <v>46100.000000000007</v>
      </c>
      <c r="G14" t="s">
        <v>13</v>
      </c>
      <c r="H14" s="7">
        <f>H12+K12</f>
        <v>40107.000000000007</v>
      </c>
    </row>
    <row r="15" spans="1:11" x14ac:dyDescent="0.25">
      <c r="A15" t="s">
        <v>14</v>
      </c>
      <c r="B15" s="4">
        <f>B14/B3</f>
        <v>1.1525000000000001</v>
      </c>
      <c r="G15" t="s">
        <v>14</v>
      </c>
      <c r="H15" s="4">
        <f>H14/H3</f>
        <v>1.0026750000000002</v>
      </c>
    </row>
  </sheetData>
  <pageMargins left="0.7" right="0.7" top="0.75" bottom="0.75" header="0.3" footer="0.3"/>
  <headerFooter>
    <oddFooter>&amp;L_x000D_&amp;1#&amp;"Calibri"&amp;10&amp;K000000 Internal Use\Confidential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21B6-FB90-4E96-8DFF-7B635E603BFC}">
  <dimension ref="A1:F19"/>
  <sheetViews>
    <sheetView workbookViewId="0">
      <selection activeCell="B19" sqref="B19"/>
    </sheetView>
  </sheetViews>
  <sheetFormatPr defaultRowHeight="15" x14ac:dyDescent="0.25"/>
  <cols>
    <col min="1" max="1" width="34.5703125" bestFit="1" customWidth="1"/>
    <col min="2" max="2" width="20.28515625" bestFit="1" customWidth="1"/>
    <col min="3" max="3" width="14.5703125" bestFit="1" customWidth="1"/>
    <col min="5" max="5" width="20" bestFit="1" customWidth="1"/>
    <col min="6" max="6" width="13.5703125" bestFit="1" customWidth="1"/>
  </cols>
  <sheetData>
    <row r="1" spans="1:6" x14ac:dyDescent="0.25">
      <c r="A1" s="8" t="s">
        <v>15</v>
      </c>
      <c r="B1" s="9" t="s">
        <v>0</v>
      </c>
      <c r="C1" s="10">
        <v>200000</v>
      </c>
      <c r="E1" s="11" t="s">
        <v>1</v>
      </c>
      <c r="F1" s="12">
        <v>5.0000000000000001E-4</v>
      </c>
    </row>
    <row r="2" spans="1:6" x14ac:dyDescent="0.25">
      <c r="A2" t="s">
        <v>16</v>
      </c>
      <c r="B2" s="13" t="s">
        <v>5</v>
      </c>
      <c r="C2" s="14">
        <v>10000000</v>
      </c>
      <c r="E2" s="15" t="s">
        <v>3</v>
      </c>
      <c r="F2" s="16">
        <v>5.0000000000000001E-4</v>
      </c>
    </row>
    <row r="3" spans="1:6" ht="15.75" thickBot="1" x14ac:dyDescent="0.3">
      <c r="B3" s="17" t="s">
        <v>8</v>
      </c>
      <c r="C3" s="18">
        <v>1.2</v>
      </c>
      <c r="E3" s="19" t="s">
        <v>17</v>
      </c>
      <c r="F3" s="20">
        <v>2.5000000000000001E-3</v>
      </c>
    </row>
    <row r="4" spans="1:6" x14ac:dyDescent="0.25">
      <c r="B4" s="11" t="s">
        <v>2</v>
      </c>
      <c r="C4" s="21">
        <f>C1*0.8</f>
        <v>160000</v>
      </c>
    </row>
    <row r="5" spans="1:6" x14ac:dyDescent="0.25">
      <c r="B5" s="15" t="s">
        <v>4</v>
      </c>
      <c r="C5" s="22">
        <f>C1*0.2</f>
        <v>40000</v>
      </c>
    </row>
    <row r="6" spans="1:6" x14ac:dyDescent="0.25">
      <c r="B6" s="15" t="s">
        <v>6</v>
      </c>
      <c r="C6" s="23">
        <f>C5/C2</f>
        <v>4.0000000000000001E-3</v>
      </c>
      <c r="E6" s="5"/>
    </row>
    <row r="7" spans="1:6" ht="15.75" thickBot="1" x14ac:dyDescent="0.3">
      <c r="B7" s="19" t="s">
        <v>18</v>
      </c>
      <c r="C7" s="24">
        <f>C2*C3</f>
        <v>12000000</v>
      </c>
      <c r="D7" s="3"/>
    </row>
    <row r="9" spans="1:6" ht="15.75" thickBot="1" x14ac:dyDescent="0.3"/>
    <row r="10" spans="1:6" x14ac:dyDescent="0.25">
      <c r="A10" s="78" t="s">
        <v>19</v>
      </c>
      <c r="B10" s="25" t="s">
        <v>9</v>
      </c>
      <c r="C10" s="26">
        <f>IF(C3&gt;1,C2*0.78,C7*0.78)</f>
        <v>7800000</v>
      </c>
      <c r="D10" s="25"/>
      <c r="E10" s="25" t="s">
        <v>10</v>
      </c>
      <c r="F10" s="27">
        <f>IF(C3&gt;1,C2*0.22,C7*0.22)</f>
        <v>2200000</v>
      </c>
    </row>
    <row r="11" spans="1:6" x14ac:dyDescent="0.25">
      <c r="A11" s="79"/>
      <c r="B11" s="28" t="s">
        <v>11</v>
      </c>
      <c r="C11" s="29">
        <f>C6+F1</f>
        <v>4.5000000000000005E-3</v>
      </c>
      <c r="D11" s="28"/>
      <c r="E11" s="28" t="s">
        <v>11</v>
      </c>
      <c r="F11" s="30">
        <f>C6+F1+F2</f>
        <v>5.000000000000001E-3</v>
      </c>
    </row>
    <row r="12" spans="1:6" ht="15.75" thickBot="1" x14ac:dyDescent="0.3">
      <c r="A12" s="80"/>
      <c r="B12" s="31" t="s">
        <v>12</v>
      </c>
      <c r="C12" s="32">
        <f>C11*C10</f>
        <v>35100.000000000007</v>
      </c>
      <c r="D12" s="31"/>
      <c r="E12" s="31" t="s">
        <v>12</v>
      </c>
      <c r="F12" s="33">
        <f>F11*F10</f>
        <v>11000.000000000002</v>
      </c>
    </row>
    <row r="13" spans="1:6" ht="15.75" thickBot="1" x14ac:dyDescent="0.3"/>
    <row r="14" spans="1:6" x14ac:dyDescent="0.25">
      <c r="A14" s="81" t="s">
        <v>20</v>
      </c>
      <c r="B14" s="34" t="s">
        <v>9</v>
      </c>
      <c r="C14" s="35">
        <f>IF(C3&lt;=1,0,(C7-C2)*0.78)</f>
        <v>1560000</v>
      </c>
      <c r="D14" s="34"/>
      <c r="E14" s="34" t="s">
        <v>10</v>
      </c>
      <c r="F14" s="36">
        <f>IF(C3&lt;=1,0,(C7-C2)*0.22)</f>
        <v>440000</v>
      </c>
    </row>
    <row r="15" spans="1:6" x14ac:dyDescent="0.25">
      <c r="A15" s="82"/>
      <c r="B15" s="37" t="s">
        <v>11</v>
      </c>
      <c r="C15" s="38">
        <f>C6+F1+F3</f>
        <v>7.000000000000001E-3</v>
      </c>
      <c r="D15" s="37"/>
      <c r="E15" s="37" t="s">
        <v>11</v>
      </c>
      <c r="F15" s="39">
        <f>C6+F1+F2+F3</f>
        <v>7.5000000000000015E-3</v>
      </c>
    </row>
    <row r="16" spans="1:6" ht="15.75" thickBot="1" x14ac:dyDescent="0.3">
      <c r="A16" s="83"/>
      <c r="B16" s="40" t="s">
        <v>12</v>
      </c>
      <c r="C16" s="41">
        <f>C15*C14</f>
        <v>10920.000000000002</v>
      </c>
      <c r="D16" s="40"/>
      <c r="E16" s="40" t="s">
        <v>12</v>
      </c>
      <c r="F16" s="42">
        <f>F15*F14</f>
        <v>3300.0000000000005</v>
      </c>
    </row>
    <row r="17" spans="1:6" ht="15.75" thickBot="1" x14ac:dyDescent="0.3">
      <c r="A17" s="43"/>
      <c r="C17" s="3"/>
      <c r="F17" s="3"/>
    </row>
    <row r="18" spans="1:6" x14ac:dyDescent="0.25">
      <c r="B18" s="11" t="s">
        <v>13</v>
      </c>
      <c r="C18" s="44">
        <f>C12+F12+C16+F16</f>
        <v>60320.000000000007</v>
      </c>
    </row>
    <row r="19" spans="1:6" ht="15.75" thickBot="1" x14ac:dyDescent="0.3">
      <c r="B19" s="19" t="s">
        <v>14</v>
      </c>
      <c r="C19" s="45">
        <f>C18/C5</f>
        <v>1.5080000000000002</v>
      </c>
    </row>
  </sheetData>
  <mergeCells count="2">
    <mergeCell ref="A10:A12"/>
    <mergeCell ref="A14:A1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BC05-A0E1-4F45-897D-CAF0C180F324}">
  <dimension ref="A1:E16"/>
  <sheetViews>
    <sheetView workbookViewId="0">
      <selection activeCell="B15" sqref="B15"/>
    </sheetView>
  </sheetViews>
  <sheetFormatPr defaultRowHeight="15" x14ac:dyDescent="0.25"/>
  <cols>
    <col min="1" max="1" width="20.85546875" bestFit="1" customWidth="1"/>
    <col min="2" max="2" width="14.7109375" customWidth="1"/>
    <col min="3" max="3" width="3.5703125" customWidth="1"/>
    <col min="4" max="4" width="22.28515625" customWidth="1"/>
    <col min="5" max="5" width="20" bestFit="1" customWidth="1"/>
  </cols>
  <sheetData>
    <row r="1" spans="1:5" x14ac:dyDescent="0.25">
      <c r="A1" s="47" t="s">
        <v>4</v>
      </c>
      <c r="B1" s="51">
        <v>20000</v>
      </c>
      <c r="C1" s="49"/>
      <c r="D1" s="47" t="s">
        <v>1</v>
      </c>
      <c r="E1" s="53">
        <v>5.0000000000000001E-4</v>
      </c>
    </row>
    <row r="2" spans="1:5" x14ac:dyDescent="0.25">
      <c r="A2" s="47" t="s">
        <v>5</v>
      </c>
      <c r="B2" s="51">
        <v>10000000</v>
      </c>
      <c r="C2" s="49"/>
      <c r="D2" s="47" t="s">
        <v>21</v>
      </c>
      <c r="E2" s="53">
        <v>5.0000000000000001E-4</v>
      </c>
    </row>
    <row r="3" spans="1:5" x14ac:dyDescent="0.25">
      <c r="A3" s="47" t="s">
        <v>6</v>
      </c>
      <c r="B3" s="58">
        <f>B1/B2</f>
        <v>2E-3</v>
      </c>
      <c r="C3" s="50"/>
      <c r="D3" s="47" t="s">
        <v>17</v>
      </c>
      <c r="E3" s="53">
        <v>2.5000000000000001E-3</v>
      </c>
    </row>
    <row r="4" spans="1:5" x14ac:dyDescent="0.25">
      <c r="A4" s="47" t="s">
        <v>22</v>
      </c>
      <c r="B4" s="51">
        <v>2000000</v>
      </c>
      <c r="C4" s="49"/>
    </row>
    <row r="5" spans="1:5" x14ac:dyDescent="0.25">
      <c r="A5" s="47" t="s">
        <v>23</v>
      </c>
      <c r="B5" s="58">
        <f>B4/B2</f>
        <v>0.2</v>
      </c>
      <c r="C5" s="50"/>
    </row>
    <row r="7" spans="1:5" x14ac:dyDescent="0.25">
      <c r="A7" s="87" t="s">
        <v>24</v>
      </c>
      <c r="B7" s="87"/>
      <c r="C7" s="87"/>
      <c r="D7" s="87"/>
      <c r="E7" s="87"/>
    </row>
    <row r="8" spans="1:5" x14ac:dyDescent="0.25">
      <c r="A8" s="47" t="s">
        <v>25</v>
      </c>
      <c r="B8" s="51">
        <v>1000000</v>
      </c>
      <c r="C8" s="84" t="s">
        <v>26</v>
      </c>
      <c r="D8" s="85"/>
      <c r="E8" s="86"/>
    </row>
    <row r="9" spans="1:5" x14ac:dyDescent="0.25">
      <c r="A9" s="47" t="s">
        <v>27</v>
      </c>
      <c r="B9" s="51">
        <v>1000000</v>
      </c>
      <c r="C9" s="84" t="s">
        <v>28</v>
      </c>
      <c r="D9" s="85"/>
      <c r="E9" s="86"/>
    </row>
    <row r="10" spans="1:5" x14ac:dyDescent="0.25">
      <c r="A10" s="47" t="s">
        <v>29</v>
      </c>
      <c r="B10" s="51">
        <v>0</v>
      </c>
      <c r="C10" s="54" t="s">
        <v>30</v>
      </c>
      <c r="D10" s="55"/>
      <c r="E10" s="56"/>
    </row>
    <row r="11" spans="1:5" x14ac:dyDescent="0.25">
      <c r="A11" s="47" t="s">
        <v>31</v>
      </c>
      <c r="B11" s="51">
        <v>125000</v>
      </c>
      <c r="C11" s="84" t="s">
        <v>32</v>
      </c>
      <c r="D11" s="85"/>
      <c r="E11" s="86"/>
    </row>
    <row r="12" spans="1:5" x14ac:dyDescent="0.25">
      <c r="A12" s="47" t="s">
        <v>33</v>
      </c>
      <c r="B12" s="51">
        <f>B9+B11</f>
        <v>1125000</v>
      </c>
      <c r="C12" s="84" t="s">
        <v>34</v>
      </c>
      <c r="D12" s="85"/>
      <c r="E12" s="86"/>
    </row>
    <row r="13" spans="1:5" x14ac:dyDescent="0.25">
      <c r="A13" s="57" t="s">
        <v>35</v>
      </c>
      <c r="B13" s="52">
        <f>B12-B8</f>
        <v>125000</v>
      </c>
      <c r="C13" s="84" t="s">
        <v>36</v>
      </c>
      <c r="D13" s="85"/>
      <c r="E13" s="86"/>
    </row>
    <row r="14" spans="1:5" x14ac:dyDescent="0.25">
      <c r="A14" s="46"/>
      <c r="B14" s="46"/>
      <c r="C14" s="48"/>
      <c r="D14" s="48"/>
      <c r="E14" s="48"/>
    </row>
    <row r="15" spans="1:5" x14ac:dyDescent="0.25">
      <c r="A15" s="47" t="s">
        <v>37</v>
      </c>
      <c r="B15" s="53">
        <f>B3+E1</f>
        <v>2.5000000000000001E-3</v>
      </c>
      <c r="C15" s="84" t="s">
        <v>38</v>
      </c>
      <c r="D15" s="85"/>
      <c r="E15" s="86"/>
    </row>
    <row r="16" spans="1:5" x14ac:dyDescent="0.25">
      <c r="A16" s="57" t="s">
        <v>39</v>
      </c>
      <c r="B16" s="52">
        <f>B15*B13</f>
        <v>312.5</v>
      </c>
      <c r="C16" s="84" t="s">
        <v>40</v>
      </c>
      <c r="D16" s="85"/>
      <c r="E16" s="86"/>
    </row>
  </sheetData>
  <mergeCells count="8">
    <mergeCell ref="C16:E16"/>
    <mergeCell ref="A7:E7"/>
    <mergeCell ref="C8:E8"/>
    <mergeCell ref="C9:E9"/>
    <mergeCell ref="C11:E11"/>
    <mergeCell ref="C12:E12"/>
    <mergeCell ref="C13:E13"/>
    <mergeCell ref="C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4AD9-0834-4E40-8B1C-5EC35020F854}">
  <dimension ref="A1:E16"/>
  <sheetViews>
    <sheetView tabSelected="1" workbookViewId="0">
      <selection activeCell="D2" sqref="D2"/>
    </sheetView>
  </sheetViews>
  <sheetFormatPr defaultRowHeight="15" x14ac:dyDescent="0.25"/>
  <cols>
    <col min="1" max="1" width="20.85546875" bestFit="1" customWidth="1"/>
    <col min="2" max="2" width="14.7109375" customWidth="1"/>
    <col min="3" max="3" width="3.5703125" customWidth="1"/>
    <col min="4" max="4" width="22.28515625" customWidth="1"/>
    <col min="5" max="5" width="20" bestFit="1" customWidth="1"/>
  </cols>
  <sheetData>
    <row r="1" spans="1:5" x14ac:dyDescent="0.25">
      <c r="A1" s="47" t="s">
        <v>4</v>
      </c>
      <c r="B1" s="51">
        <v>20000</v>
      </c>
      <c r="C1" s="49"/>
      <c r="D1" s="47" t="s">
        <v>1</v>
      </c>
      <c r="E1" s="53">
        <v>5.0000000000000001E-4</v>
      </c>
    </row>
    <row r="2" spans="1:5" x14ac:dyDescent="0.25">
      <c r="A2" s="47" t="s">
        <v>5</v>
      </c>
      <c r="B2" s="51">
        <v>10000000</v>
      </c>
      <c r="C2" s="49"/>
      <c r="D2" s="47" t="s">
        <v>21</v>
      </c>
      <c r="E2" s="53">
        <v>5.0000000000000001E-4</v>
      </c>
    </row>
    <row r="3" spans="1:5" x14ac:dyDescent="0.25">
      <c r="A3" s="47" t="s">
        <v>6</v>
      </c>
      <c r="B3" s="58">
        <f>B1/B2</f>
        <v>2E-3</v>
      </c>
      <c r="C3" s="50"/>
      <c r="D3" s="47" t="s">
        <v>17</v>
      </c>
      <c r="E3" s="53">
        <v>2.5000000000000001E-3</v>
      </c>
    </row>
    <row r="4" spans="1:5" x14ac:dyDescent="0.25">
      <c r="A4" s="47" t="s">
        <v>22</v>
      </c>
      <c r="B4" s="51">
        <v>2000000</v>
      </c>
      <c r="C4" s="49"/>
    </row>
    <row r="5" spans="1:5" x14ac:dyDescent="0.25">
      <c r="A5" s="47" t="s">
        <v>23</v>
      </c>
      <c r="B5" s="58">
        <f>B4/B2</f>
        <v>0.2</v>
      </c>
      <c r="C5" s="50"/>
    </row>
    <row r="7" spans="1:5" x14ac:dyDescent="0.25">
      <c r="A7" s="87" t="s">
        <v>41</v>
      </c>
      <c r="B7" s="87"/>
      <c r="C7" s="87"/>
      <c r="D7" s="87"/>
      <c r="E7" s="87"/>
    </row>
    <row r="8" spans="1:5" x14ac:dyDescent="0.25">
      <c r="A8" s="47" t="s">
        <v>25</v>
      </c>
      <c r="B8" s="51">
        <v>1000000</v>
      </c>
      <c r="C8" s="84" t="s">
        <v>26</v>
      </c>
      <c r="D8" s="85"/>
      <c r="E8" s="86"/>
    </row>
    <row r="9" spans="1:5" x14ac:dyDescent="0.25">
      <c r="A9" s="47" t="s">
        <v>27</v>
      </c>
      <c r="B9" s="51">
        <v>900000</v>
      </c>
      <c r="C9" s="84" t="s">
        <v>28</v>
      </c>
      <c r="D9" s="85"/>
      <c r="E9" s="86"/>
    </row>
    <row r="10" spans="1:5" x14ac:dyDescent="0.25">
      <c r="A10" s="47" t="s">
        <v>29</v>
      </c>
      <c r="B10" s="51">
        <v>100000</v>
      </c>
      <c r="C10" s="54" t="s">
        <v>30</v>
      </c>
      <c r="D10" s="55"/>
      <c r="E10" s="56"/>
    </row>
    <row r="11" spans="1:5" x14ac:dyDescent="0.25">
      <c r="A11" s="47" t="s">
        <v>31</v>
      </c>
      <c r="B11" s="51">
        <v>125000</v>
      </c>
      <c r="C11" s="84" t="s">
        <v>32</v>
      </c>
      <c r="D11" s="85"/>
      <c r="E11" s="86"/>
    </row>
    <row r="12" spans="1:5" x14ac:dyDescent="0.25">
      <c r="A12" s="47" t="s">
        <v>33</v>
      </c>
      <c r="B12" s="51">
        <f>B9+B11</f>
        <v>1025000</v>
      </c>
      <c r="C12" s="84" t="s">
        <v>34</v>
      </c>
      <c r="D12" s="85"/>
      <c r="E12" s="86"/>
    </row>
    <row r="13" spans="1:5" x14ac:dyDescent="0.25">
      <c r="A13" s="57" t="s">
        <v>35</v>
      </c>
      <c r="B13" s="52">
        <f>B12-B8</f>
        <v>25000</v>
      </c>
      <c r="C13" s="84" t="s">
        <v>36</v>
      </c>
      <c r="D13" s="85"/>
      <c r="E13" s="86"/>
    </row>
    <row r="14" spans="1:5" x14ac:dyDescent="0.25">
      <c r="A14" s="46"/>
      <c r="B14" s="46"/>
      <c r="C14" s="48"/>
      <c r="D14" s="48"/>
      <c r="E14" s="48"/>
    </row>
    <row r="15" spans="1:5" x14ac:dyDescent="0.25">
      <c r="A15" s="47" t="s">
        <v>37</v>
      </c>
      <c r="B15" s="53">
        <f>B3+E1</f>
        <v>2.5000000000000001E-3</v>
      </c>
      <c r="C15" s="84" t="s">
        <v>38</v>
      </c>
      <c r="D15" s="85"/>
      <c r="E15" s="86"/>
    </row>
    <row r="16" spans="1:5" x14ac:dyDescent="0.25">
      <c r="A16" s="57" t="s">
        <v>39</v>
      </c>
      <c r="B16" s="52">
        <f>B15*B13</f>
        <v>62.5</v>
      </c>
      <c r="C16" s="84" t="s">
        <v>40</v>
      </c>
      <c r="D16" s="85"/>
      <c r="E16" s="86"/>
    </row>
  </sheetData>
  <mergeCells count="8">
    <mergeCell ref="C13:E13"/>
    <mergeCell ref="C16:E16"/>
    <mergeCell ref="A7:E7"/>
    <mergeCell ref="C8:E8"/>
    <mergeCell ref="C9:E9"/>
    <mergeCell ref="C11:E11"/>
    <mergeCell ref="C12:E12"/>
    <mergeCell ref="C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147E-2772-4468-90D5-7D653324B702}">
  <dimension ref="A1:E16"/>
  <sheetViews>
    <sheetView workbookViewId="0">
      <selection activeCell="C16" sqref="C16"/>
    </sheetView>
  </sheetViews>
  <sheetFormatPr defaultRowHeight="15" x14ac:dyDescent="0.25"/>
  <cols>
    <col min="1" max="1" width="20.85546875" bestFit="1" customWidth="1"/>
    <col min="2" max="2" width="14.7109375" customWidth="1"/>
    <col min="3" max="3" width="3.5703125" customWidth="1"/>
    <col min="4" max="4" width="22.28515625" customWidth="1"/>
    <col min="5" max="5" width="20" bestFit="1" customWidth="1"/>
  </cols>
  <sheetData>
    <row r="1" spans="1:5" x14ac:dyDescent="0.25">
      <c r="A1" s="47" t="s">
        <v>4</v>
      </c>
      <c r="B1" s="51">
        <v>20000</v>
      </c>
      <c r="C1" s="49"/>
      <c r="D1" s="47" t="s">
        <v>1</v>
      </c>
      <c r="E1" s="53">
        <v>5.0000000000000001E-4</v>
      </c>
    </row>
    <row r="2" spans="1:5" x14ac:dyDescent="0.25">
      <c r="A2" s="47" t="s">
        <v>5</v>
      </c>
      <c r="B2" s="51">
        <v>10000000</v>
      </c>
      <c r="C2" s="49"/>
      <c r="D2" s="47" t="s">
        <v>21</v>
      </c>
      <c r="E2" s="53">
        <v>5.0000000000000001E-4</v>
      </c>
    </row>
    <row r="3" spans="1:5" x14ac:dyDescent="0.25">
      <c r="A3" s="47" t="s">
        <v>6</v>
      </c>
      <c r="B3" s="58">
        <f>B1/B2</f>
        <v>2E-3</v>
      </c>
      <c r="C3" s="50"/>
      <c r="D3" s="47" t="s">
        <v>17</v>
      </c>
      <c r="E3" s="53">
        <v>2.5000000000000001E-3</v>
      </c>
    </row>
    <row r="4" spans="1:5" x14ac:dyDescent="0.25">
      <c r="A4" s="47" t="s">
        <v>22</v>
      </c>
      <c r="B4" s="51">
        <v>2000000</v>
      </c>
      <c r="C4" s="49"/>
    </row>
    <row r="5" spans="1:5" x14ac:dyDescent="0.25">
      <c r="A5" s="47" t="s">
        <v>23</v>
      </c>
      <c r="B5" s="58">
        <f>B4/B2</f>
        <v>0.2</v>
      </c>
      <c r="C5" s="50"/>
    </row>
    <row r="7" spans="1:5" x14ac:dyDescent="0.25">
      <c r="A7" s="87" t="s">
        <v>42</v>
      </c>
      <c r="B7" s="87"/>
      <c r="C7" s="87"/>
      <c r="D7" s="87"/>
      <c r="E7" s="87"/>
    </row>
    <row r="8" spans="1:5" x14ac:dyDescent="0.25">
      <c r="A8" s="47" t="s">
        <v>25</v>
      </c>
      <c r="B8" s="51">
        <v>0</v>
      </c>
      <c r="C8" s="84" t="s">
        <v>26</v>
      </c>
      <c r="D8" s="85"/>
      <c r="E8" s="86"/>
    </row>
    <row r="9" spans="1:5" x14ac:dyDescent="0.25">
      <c r="A9" s="47" t="s">
        <v>27</v>
      </c>
      <c r="B9" s="51">
        <v>0</v>
      </c>
      <c r="C9" s="84" t="s">
        <v>28</v>
      </c>
      <c r="D9" s="85"/>
      <c r="E9" s="86"/>
    </row>
    <row r="10" spans="1:5" x14ac:dyDescent="0.25">
      <c r="A10" s="47" t="s">
        <v>29</v>
      </c>
      <c r="B10" s="51">
        <v>0</v>
      </c>
      <c r="C10" s="54" t="s">
        <v>30</v>
      </c>
      <c r="D10" s="55"/>
      <c r="E10" s="56"/>
    </row>
    <row r="11" spans="1:5" x14ac:dyDescent="0.25">
      <c r="A11" s="47" t="s">
        <v>43</v>
      </c>
      <c r="B11" s="51">
        <v>1000000</v>
      </c>
      <c r="C11" s="84" t="s">
        <v>32</v>
      </c>
      <c r="D11" s="85"/>
      <c r="E11" s="86"/>
    </row>
    <row r="12" spans="1:5" x14ac:dyDescent="0.25">
      <c r="A12" s="47" t="s">
        <v>33</v>
      </c>
      <c r="B12" s="51">
        <f>B9+B11</f>
        <v>1000000</v>
      </c>
      <c r="C12" s="84" t="s">
        <v>34</v>
      </c>
      <c r="D12" s="85"/>
      <c r="E12" s="86"/>
    </row>
    <row r="13" spans="1:5" x14ac:dyDescent="0.25">
      <c r="A13" s="57" t="s">
        <v>35</v>
      </c>
      <c r="B13" s="52">
        <f>B12-B8</f>
        <v>1000000</v>
      </c>
      <c r="C13" s="84" t="s">
        <v>36</v>
      </c>
      <c r="D13" s="85"/>
      <c r="E13" s="86"/>
    </row>
    <row r="14" spans="1:5" x14ac:dyDescent="0.25">
      <c r="A14" s="46"/>
      <c r="B14" s="46"/>
      <c r="C14" s="48"/>
      <c r="D14" s="48"/>
      <c r="E14" s="48"/>
    </row>
    <row r="15" spans="1:5" x14ac:dyDescent="0.25">
      <c r="A15" s="47" t="s">
        <v>37</v>
      </c>
      <c r="B15" s="53">
        <f>B3+E1+E2</f>
        <v>3.0000000000000001E-3</v>
      </c>
      <c r="C15" s="84" t="s">
        <v>82</v>
      </c>
      <c r="D15" s="85"/>
      <c r="E15" s="86"/>
    </row>
    <row r="16" spans="1:5" x14ac:dyDescent="0.25">
      <c r="A16" s="57" t="s">
        <v>39</v>
      </c>
      <c r="B16" s="52">
        <f>B15*B13</f>
        <v>3000</v>
      </c>
      <c r="C16" s="84" t="s">
        <v>40</v>
      </c>
      <c r="D16" s="85"/>
      <c r="E16" s="86"/>
    </row>
  </sheetData>
  <mergeCells count="8">
    <mergeCell ref="C15:E15"/>
    <mergeCell ref="C16:E16"/>
    <mergeCell ref="A7:E7"/>
    <mergeCell ref="C8:E8"/>
    <mergeCell ref="C9:E9"/>
    <mergeCell ref="C11:E11"/>
    <mergeCell ref="C12:E12"/>
    <mergeCell ref="C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0CC3-7B0D-4E04-8D5D-969C8EF204D1}">
  <dimension ref="A1:E23"/>
  <sheetViews>
    <sheetView workbookViewId="0">
      <selection activeCell="E23" sqref="E23"/>
    </sheetView>
  </sheetViews>
  <sheetFormatPr defaultRowHeight="15" x14ac:dyDescent="0.25"/>
  <cols>
    <col min="1" max="1" width="35.28515625" bestFit="1" customWidth="1"/>
    <col min="2" max="2" width="14.7109375" customWidth="1"/>
    <col min="3" max="3" width="3.5703125" customWidth="1"/>
    <col min="4" max="4" width="22.28515625" customWidth="1"/>
    <col min="5" max="5" width="32.5703125" customWidth="1"/>
  </cols>
  <sheetData>
    <row r="1" spans="1:5" x14ac:dyDescent="0.25">
      <c r="A1" s="47" t="s">
        <v>4</v>
      </c>
      <c r="B1" s="51">
        <v>20000</v>
      </c>
      <c r="C1" s="49"/>
      <c r="D1" s="47" t="s">
        <v>1</v>
      </c>
      <c r="E1" s="53">
        <v>5.0000000000000001E-4</v>
      </c>
    </row>
    <row r="2" spans="1:5" x14ac:dyDescent="0.25">
      <c r="A2" s="47" t="s">
        <v>5</v>
      </c>
      <c r="B2" s="51">
        <v>10000000</v>
      </c>
      <c r="C2" s="49"/>
      <c r="D2" s="47" t="s">
        <v>21</v>
      </c>
      <c r="E2" s="53">
        <v>5.0000000000000001E-4</v>
      </c>
    </row>
    <row r="3" spans="1:5" x14ac:dyDescent="0.25">
      <c r="A3" s="47" t="s">
        <v>6</v>
      </c>
      <c r="B3" s="58">
        <f>B1/B2</f>
        <v>2E-3</v>
      </c>
      <c r="C3" s="50"/>
      <c r="D3" s="47" t="s">
        <v>17</v>
      </c>
      <c r="E3" s="53">
        <v>2.5000000000000001E-3</v>
      </c>
    </row>
    <row r="4" spans="1:5" x14ac:dyDescent="0.25">
      <c r="A4" s="47" t="s">
        <v>22</v>
      </c>
      <c r="B4" s="51">
        <v>9500000</v>
      </c>
      <c r="C4" s="49"/>
    </row>
    <row r="5" spans="1:5" x14ac:dyDescent="0.25">
      <c r="A5" s="47" t="s">
        <v>23</v>
      </c>
      <c r="B5" s="58">
        <f>B4/B2</f>
        <v>0.95</v>
      </c>
      <c r="C5" s="50"/>
    </row>
    <row r="7" spans="1:5" x14ac:dyDescent="0.25">
      <c r="A7" s="87" t="s">
        <v>44</v>
      </c>
      <c r="B7" s="87"/>
      <c r="C7" s="87"/>
      <c r="D7" s="87"/>
      <c r="E7" s="87"/>
    </row>
    <row r="8" spans="1:5" x14ac:dyDescent="0.25">
      <c r="A8" s="47" t="s">
        <v>25</v>
      </c>
      <c r="B8" s="51">
        <v>0</v>
      </c>
      <c r="C8" s="88" t="s">
        <v>26</v>
      </c>
      <c r="D8" s="88"/>
      <c r="E8" s="88"/>
    </row>
    <row r="9" spans="1:5" x14ac:dyDescent="0.25">
      <c r="A9" s="47" t="s">
        <v>27</v>
      </c>
      <c r="B9" s="51">
        <v>0</v>
      </c>
      <c r="C9" s="88" t="s">
        <v>28</v>
      </c>
      <c r="D9" s="88"/>
      <c r="E9" s="88"/>
    </row>
    <row r="10" spans="1:5" x14ac:dyDescent="0.25">
      <c r="A10" s="47" t="s">
        <v>29</v>
      </c>
      <c r="B10" s="51">
        <v>0</v>
      </c>
      <c r="C10" s="84" t="s">
        <v>30</v>
      </c>
      <c r="D10" s="85"/>
      <c r="E10" s="86"/>
    </row>
    <row r="11" spans="1:5" x14ac:dyDescent="0.25">
      <c r="A11" s="47" t="s">
        <v>43</v>
      </c>
      <c r="B11" s="51">
        <v>1000000</v>
      </c>
      <c r="C11" s="88" t="s">
        <v>32</v>
      </c>
      <c r="D11" s="88"/>
      <c r="E11" s="88"/>
    </row>
    <row r="12" spans="1:5" x14ac:dyDescent="0.25">
      <c r="A12" s="47" t="s">
        <v>33</v>
      </c>
      <c r="B12" s="51">
        <f>B9+B11</f>
        <v>1000000</v>
      </c>
      <c r="C12" s="88" t="s">
        <v>34</v>
      </c>
      <c r="D12" s="88"/>
      <c r="E12" s="88"/>
    </row>
    <row r="13" spans="1:5" x14ac:dyDescent="0.25">
      <c r="A13" s="59" t="s">
        <v>35</v>
      </c>
      <c r="B13" s="60">
        <f>B12-B8</f>
        <v>1000000</v>
      </c>
      <c r="C13" s="88" t="s">
        <v>36</v>
      </c>
      <c r="D13" s="88"/>
      <c r="E13" s="88"/>
    </row>
    <row r="14" spans="1:5" x14ac:dyDescent="0.25">
      <c r="A14" s="61" t="s">
        <v>45</v>
      </c>
      <c r="B14" s="62">
        <f>B13-(B2-B4)</f>
        <v>500000</v>
      </c>
      <c r="C14" s="88" t="s">
        <v>46</v>
      </c>
      <c r="D14" s="88"/>
      <c r="E14" s="88"/>
    </row>
    <row r="15" spans="1:5" x14ac:dyDescent="0.25">
      <c r="A15" s="63" t="s">
        <v>47</v>
      </c>
      <c r="B15" s="64">
        <f>B13-B14</f>
        <v>500000</v>
      </c>
      <c r="C15" s="88" t="s">
        <v>48</v>
      </c>
      <c r="D15" s="88"/>
      <c r="E15" s="88"/>
    </row>
    <row r="16" spans="1:5" x14ac:dyDescent="0.25">
      <c r="A16" s="46"/>
      <c r="B16" s="46"/>
      <c r="C16" s="48"/>
      <c r="D16" s="48"/>
      <c r="E16" s="48"/>
    </row>
    <row r="17" spans="1:5" x14ac:dyDescent="0.25">
      <c r="A17" s="47" t="s">
        <v>49</v>
      </c>
      <c r="B17" s="53">
        <f>B3+E1+E2</f>
        <v>3.0000000000000001E-3</v>
      </c>
      <c r="C17" s="84" t="s">
        <v>82</v>
      </c>
      <c r="D17" s="85"/>
      <c r="E17" s="86"/>
    </row>
    <row r="18" spans="1:5" x14ac:dyDescent="0.25">
      <c r="A18" s="61" t="s">
        <v>50</v>
      </c>
      <c r="B18" s="62">
        <f>B17*B14</f>
        <v>1500</v>
      </c>
      <c r="C18" s="84" t="s">
        <v>51</v>
      </c>
      <c r="D18" s="85"/>
      <c r="E18" s="86"/>
    </row>
    <row r="20" spans="1:5" x14ac:dyDescent="0.25">
      <c r="A20" s="47" t="s">
        <v>52</v>
      </c>
      <c r="B20" s="53">
        <f>B3+E1+E2+E3</f>
        <v>5.4999999999999997E-3</v>
      </c>
      <c r="C20" s="84" t="s">
        <v>83</v>
      </c>
      <c r="D20" s="85"/>
      <c r="E20" s="86"/>
    </row>
    <row r="21" spans="1:5" x14ac:dyDescent="0.25">
      <c r="A21" s="63" t="s">
        <v>53</v>
      </c>
      <c r="B21" s="64">
        <f>B20*B15</f>
        <v>2750</v>
      </c>
      <c r="C21" s="84" t="s">
        <v>54</v>
      </c>
      <c r="D21" s="85"/>
      <c r="E21" s="86"/>
    </row>
    <row r="23" spans="1:5" x14ac:dyDescent="0.25">
      <c r="A23" s="57" t="s">
        <v>55</v>
      </c>
      <c r="B23" s="52">
        <f>B21+B18</f>
        <v>4250</v>
      </c>
    </row>
  </sheetData>
  <mergeCells count="13">
    <mergeCell ref="C21:E21"/>
    <mergeCell ref="C10:E10"/>
    <mergeCell ref="C17:E17"/>
    <mergeCell ref="C18:E18"/>
    <mergeCell ref="C14:E14"/>
    <mergeCell ref="C15:E15"/>
    <mergeCell ref="C20:E20"/>
    <mergeCell ref="C13:E13"/>
    <mergeCell ref="A7:E7"/>
    <mergeCell ref="C8:E8"/>
    <mergeCell ref="C9:E9"/>
    <mergeCell ref="C11:E11"/>
    <mergeCell ref="C12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518F-01F4-44DB-809F-0AC8F195C943}">
  <dimension ref="A1:O14"/>
  <sheetViews>
    <sheetView showGridLines="0" workbookViewId="0">
      <selection activeCell="D19" sqref="D19"/>
    </sheetView>
  </sheetViews>
  <sheetFormatPr defaultRowHeight="15" x14ac:dyDescent="0.25"/>
  <cols>
    <col min="1" max="1" width="21.85546875" bestFit="1" customWidth="1"/>
    <col min="2" max="2" width="10.85546875" customWidth="1"/>
    <col min="3" max="15" width="9.5703125" customWidth="1"/>
  </cols>
  <sheetData>
    <row r="1" spans="1:15" x14ac:dyDescent="0.25">
      <c r="A1" s="65" t="s">
        <v>0</v>
      </c>
      <c r="B1" s="66">
        <v>100000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25">
      <c r="A2" s="65" t="s">
        <v>2</v>
      </c>
      <c r="B2" s="66">
        <f>B1*0.8</f>
        <v>80000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x14ac:dyDescent="0.25">
      <c r="A3" s="65" t="s">
        <v>4</v>
      </c>
      <c r="B3" s="66">
        <f>B1*0.2</f>
        <v>20000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5" x14ac:dyDescent="0.25">
      <c r="A4" s="46"/>
      <c r="B4" s="46"/>
      <c r="C4" s="89" t="s">
        <v>56</v>
      </c>
      <c r="D4" s="89"/>
      <c r="E4" s="89"/>
      <c r="F4" s="90" t="s">
        <v>57</v>
      </c>
      <c r="G4" s="90"/>
      <c r="H4" s="90"/>
      <c r="I4" s="91" t="s">
        <v>58</v>
      </c>
      <c r="J4" s="91"/>
      <c r="K4" s="91"/>
      <c r="L4" s="92" t="s">
        <v>59</v>
      </c>
      <c r="M4" s="92"/>
      <c r="N4" s="92"/>
      <c r="O4" s="93" t="s">
        <v>60</v>
      </c>
    </row>
    <row r="5" spans="1:15" x14ac:dyDescent="0.25">
      <c r="A5" s="65" t="s">
        <v>61</v>
      </c>
      <c r="B5" s="65"/>
      <c r="C5" s="67" t="s">
        <v>62</v>
      </c>
      <c r="D5" s="67" t="s">
        <v>63</v>
      </c>
      <c r="E5" s="67" t="s">
        <v>64</v>
      </c>
      <c r="F5" s="68" t="s">
        <v>65</v>
      </c>
      <c r="G5" s="68" t="s">
        <v>66</v>
      </c>
      <c r="H5" s="68" t="s">
        <v>67</v>
      </c>
      <c r="I5" s="69" t="s">
        <v>68</v>
      </c>
      <c r="J5" s="69" t="s">
        <v>69</v>
      </c>
      <c r="K5" s="69" t="s">
        <v>70</v>
      </c>
      <c r="L5" s="70" t="s">
        <v>71</v>
      </c>
      <c r="M5" s="70" t="s">
        <v>72</v>
      </c>
      <c r="N5" s="70" t="s">
        <v>73</v>
      </c>
      <c r="O5" s="93"/>
    </row>
    <row r="6" spans="1:15" x14ac:dyDescent="0.25">
      <c r="A6" s="65" t="s">
        <v>74</v>
      </c>
      <c r="B6" s="65" t="s">
        <v>62</v>
      </c>
      <c r="C6" s="67" t="s">
        <v>63</v>
      </c>
      <c r="D6" s="67" t="s">
        <v>64</v>
      </c>
      <c r="E6" s="67" t="s">
        <v>65</v>
      </c>
      <c r="F6" s="68" t="s">
        <v>66</v>
      </c>
      <c r="G6" s="68" t="s">
        <v>67</v>
      </c>
      <c r="H6" s="68" t="s">
        <v>68</v>
      </c>
      <c r="I6" s="69" t="s">
        <v>69</v>
      </c>
      <c r="J6" s="69" t="s">
        <v>70</v>
      </c>
      <c r="K6" s="69" t="s">
        <v>71</v>
      </c>
      <c r="L6" s="70" t="s">
        <v>72</v>
      </c>
      <c r="M6" s="70" t="s">
        <v>73</v>
      </c>
      <c r="N6" s="70" t="s">
        <v>62</v>
      </c>
      <c r="O6" s="93"/>
    </row>
    <row r="7" spans="1:15" x14ac:dyDescent="0.25">
      <c r="A7" s="65" t="s">
        <v>75</v>
      </c>
      <c r="B7" s="71">
        <f>B3/12</f>
        <v>1666.6666666666667</v>
      </c>
      <c r="C7" s="72">
        <f>B7</f>
        <v>1666.6666666666667</v>
      </c>
      <c r="D7" s="72">
        <f>C7</f>
        <v>1666.6666666666667</v>
      </c>
      <c r="E7" s="72">
        <v>0</v>
      </c>
      <c r="F7" s="73">
        <v>0</v>
      </c>
      <c r="G7" s="73">
        <v>0</v>
      </c>
      <c r="H7" s="73">
        <v>0</v>
      </c>
      <c r="I7" s="74">
        <v>0</v>
      </c>
      <c r="J7" s="74">
        <v>0</v>
      </c>
      <c r="K7" s="74">
        <v>0</v>
      </c>
      <c r="L7" s="75">
        <v>0</v>
      </c>
      <c r="M7" s="75">
        <v>0</v>
      </c>
      <c r="N7" s="75">
        <v>0</v>
      </c>
      <c r="O7" s="76">
        <f>SUM(B7:N7)</f>
        <v>5000</v>
      </c>
    </row>
    <row r="8" spans="1:15" x14ac:dyDescent="0.25">
      <c r="A8" s="65" t="s">
        <v>76</v>
      </c>
      <c r="B8" s="71">
        <v>0</v>
      </c>
      <c r="C8" s="72">
        <v>0</v>
      </c>
      <c r="D8" s="72">
        <v>1000</v>
      </c>
      <c r="E8" s="72">
        <v>500</v>
      </c>
      <c r="F8" s="73">
        <v>750</v>
      </c>
      <c r="G8" s="73">
        <v>1500</v>
      </c>
      <c r="H8" s="73">
        <v>4000</v>
      </c>
      <c r="I8" s="74">
        <v>500</v>
      </c>
      <c r="J8" s="74">
        <v>2000</v>
      </c>
      <c r="K8" s="74">
        <v>1000</v>
      </c>
      <c r="L8" s="75">
        <v>2000</v>
      </c>
      <c r="M8" s="75">
        <v>2500</v>
      </c>
      <c r="N8" s="75">
        <v>4250</v>
      </c>
      <c r="O8" s="76">
        <f t="shared" ref="O8:O12" si="0">SUM(B8:N8)</f>
        <v>20000</v>
      </c>
    </row>
    <row r="9" spans="1:15" x14ac:dyDescent="0.25">
      <c r="A9" s="65" t="s">
        <v>77</v>
      </c>
      <c r="B9" s="71">
        <v>0</v>
      </c>
      <c r="C9" s="72">
        <v>0</v>
      </c>
      <c r="D9" s="72">
        <f>D8+C8</f>
        <v>1000</v>
      </c>
      <c r="E9" s="72">
        <f>E8</f>
        <v>500</v>
      </c>
      <c r="F9" s="73">
        <f>F8*0.5</f>
        <v>375</v>
      </c>
      <c r="G9" s="73">
        <f>G8*0.5</f>
        <v>750</v>
      </c>
      <c r="H9" s="73">
        <f>H8*0.5</f>
        <v>2000</v>
      </c>
      <c r="I9" s="74">
        <v>0</v>
      </c>
      <c r="J9" s="74">
        <f>J8+I13</f>
        <v>1625</v>
      </c>
      <c r="K9" s="74">
        <f t="shared" ref="K9:N9" si="1">K8+J13</f>
        <v>1000</v>
      </c>
      <c r="L9" s="75">
        <f>L8+K13</f>
        <v>2000</v>
      </c>
      <c r="M9" s="75">
        <f t="shared" si="1"/>
        <v>2500</v>
      </c>
      <c r="N9" s="75">
        <f t="shared" si="1"/>
        <v>4250</v>
      </c>
      <c r="O9" s="76">
        <f t="shared" si="0"/>
        <v>16000</v>
      </c>
    </row>
    <row r="10" spans="1:15" x14ac:dyDescent="0.25">
      <c r="A10" s="65" t="s">
        <v>78</v>
      </c>
      <c r="B10" s="71">
        <f>B7</f>
        <v>1666.6666666666667</v>
      </c>
      <c r="C10" s="72">
        <f>C7</f>
        <v>1666.6666666666667</v>
      </c>
      <c r="D10" s="72">
        <f>D7+C7-C10-C8-D8</f>
        <v>666.66666666666674</v>
      </c>
      <c r="E10" s="72">
        <v>0</v>
      </c>
      <c r="F10" s="73">
        <v>0</v>
      </c>
      <c r="G10" s="73">
        <v>0</v>
      </c>
      <c r="H10" s="73">
        <v>0</v>
      </c>
      <c r="I10" s="74">
        <v>0</v>
      </c>
      <c r="J10" s="74">
        <v>0</v>
      </c>
      <c r="K10" s="74">
        <v>0</v>
      </c>
      <c r="L10" s="75">
        <v>0</v>
      </c>
      <c r="M10" s="75">
        <v>0</v>
      </c>
      <c r="N10" s="75">
        <v>0</v>
      </c>
      <c r="O10" s="76">
        <f t="shared" si="0"/>
        <v>4000</v>
      </c>
    </row>
    <row r="11" spans="1:15" x14ac:dyDescent="0.25">
      <c r="A11" s="65" t="s">
        <v>79</v>
      </c>
      <c r="B11" s="71">
        <f>B10</f>
        <v>1666.6666666666667</v>
      </c>
      <c r="C11" s="72">
        <f>C10</f>
        <v>1666.6666666666667</v>
      </c>
      <c r="D11" s="72">
        <f>D9+D10</f>
        <v>1666.6666666666667</v>
      </c>
      <c r="E11" s="72">
        <f>E9</f>
        <v>500</v>
      </c>
      <c r="F11" s="73">
        <f>F9</f>
        <v>375</v>
      </c>
      <c r="G11" s="73">
        <f>G9</f>
        <v>750</v>
      </c>
      <c r="H11" s="73">
        <f>H9</f>
        <v>2000</v>
      </c>
      <c r="I11" s="74">
        <v>0</v>
      </c>
      <c r="J11" s="74">
        <f>J9</f>
        <v>1625</v>
      </c>
      <c r="K11" s="74">
        <f t="shared" ref="K11:N11" si="2">K9</f>
        <v>1000</v>
      </c>
      <c r="L11" s="75">
        <f>L9</f>
        <v>2000</v>
      </c>
      <c r="M11" s="75">
        <f t="shared" si="2"/>
        <v>2500</v>
      </c>
      <c r="N11" s="75">
        <f t="shared" si="2"/>
        <v>4250</v>
      </c>
      <c r="O11" s="76">
        <f>SUM(B11:N11)</f>
        <v>20000</v>
      </c>
    </row>
    <row r="12" spans="1:15" x14ac:dyDescent="0.25">
      <c r="A12" s="65" t="s">
        <v>80</v>
      </c>
      <c r="B12" s="71">
        <v>0</v>
      </c>
      <c r="C12" s="72">
        <v>0</v>
      </c>
      <c r="D12" s="72">
        <v>0</v>
      </c>
      <c r="E12" s="72">
        <v>0</v>
      </c>
      <c r="F12" s="73">
        <f>F8-F9</f>
        <v>375</v>
      </c>
      <c r="G12" s="73">
        <f t="shared" ref="G12:N12" si="3">G8-G9</f>
        <v>750</v>
      </c>
      <c r="H12" s="73">
        <f t="shared" si="3"/>
        <v>2000</v>
      </c>
      <c r="I12" s="74">
        <f t="shared" si="3"/>
        <v>500</v>
      </c>
      <c r="J12" s="74">
        <f t="shared" si="3"/>
        <v>375</v>
      </c>
      <c r="K12" s="74">
        <f t="shared" si="3"/>
        <v>0</v>
      </c>
      <c r="L12" s="75">
        <f>L8-L9</f>
        <v>0</v>
      </c>
      <c r="M12" s="75">
        <f t="shared" si="3"/>
        <v>0</v>
      </c>
      <c r="N12" s="75">
        <f t="shared" si="3"/>
        <v>0</v>
      </c>
      <c r="O12" s="76">
        <f t="shared" si="0"/>
        <v>4000</v>
      </c>
    </row>
    <row r="13" spans="1:15" x14ac:dyDescent="0.25">
      <c r="A13" s="65" t="s">
        <v>81</v>
      </c>
      <c r="B13" s="71">
        <f>B9-B11</f>
        <v>-1666.6666666666667</v>
      </c>
      <c r="C13" s="72">
        <f>B13-C7</f>
        <v>-3333.3333333333335</v>
      </c>
      <c r="D13" s="72">
        <f>C13-D10</f>
        <v>-4000</v>
      </c>
      <c r="E13" s="72">
        <f>D13-E10</f>
        <v>-4000</v>
      </c>
      <c r="F13" s="73">
        <f>E13+F12</f>
        <v>-3625</v>
      </c>
      <c r="G13" s="73">
        <f t="shared" ref="G13:I13" si="4">F13+G12</f>
        <v>-2875</v>
      </c>
      <c r="H13" s="73">
        <f t="shared" si="4"/>
        <v>-875</v>
      </c>
      <c r="I13" s="74">
        <f t="shared" si="4"/>
        <v>-375</v>
      </c>
      <c r="J13" s="74">
        <v>0</v>
      </c>
      <c r="K13" s="74">
        <v>0</v>
      </c>
      <c r="L13" s="75">
        <v>0</v>
      </c>
      <c r="M13" s="75">
        <v>0</v>
      </c>
      <c r="N13" s="75">
        <v>0</v>
      </c>
      <c r="O13" s="76">
        <f>-O12</f>
        <v>-4000</v>
      </c>
    </row>
    <row r="14" spans="1:15" x14ac:dyDescent="0.25">
      <c r="I14" s="77"/>
    </row>
  </sheetData>
  <mergeCells count="5">
    <mergeCell ref="C4:E4"/>
    <mergeCell ref="F4:H4"/>
    <mergeCell ref="I4:K4"/>
    <mergeCell ref="L4:N4"/>
    <mergeCell ref="O4:O6"/>
  </mergeCells>
  <pageMargins left="0.7" right="0.7" top="0.75" bottom="0.75" header="0.3" footer="0.3"/>
  <headerFooter>
    <oddFooter>&amp;L_x000D_&amp;1#&amp;"Calibri"&amp;10&amp;K000000 Internal Use\Highly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EB5B9F11DD64D8E71A5A713F7BED3" ma:contentTypeVersion="19" ma:contentTypeDescription="Create a new document." ma:contentTypeScope="" ma:versionID="893a1260f6c130765df9d8ea9600446e">
  <xsd:schema xmlns:xsd="http://www.w3.org/2001/XMLSchema" xmlns:xs="http://www.w3.org/2001/XMLSchema" xmlns:p="http://schemas.microsoft.com/office/2006/metadata/properties" xmlns:ns2="d9d2cd96-5296-41b0-a809-babe4fb4e3cc" xmlns:ns3="7117ac27-a909-423b-aead-709526a5cbd4" targetNamespace="http://schemas.microsoft.com/office/2006/metadata/properties" ma:root="true" ma:fieldsID="30e1cfc61af12f135bdfbec0634e0ca4" ns2:_="" ns3:_="">
    <xsd:import namespace="d9d2cd96-5296-41b0-a809-babe4fb4e3cc"/>
    <xsd:import namespace="7117ac27-a909-423b-aead-709526a5c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2cd96-5296-41b0-a809-babe4fb4e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f8818a0-228a-4688-8ae8-0868a9677f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ac27-a909-423b-aead-709526a5c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e7fde6c-73f2-4cd9-8c7f-5c38ce317016}" ma:internalName="TaxCatchAll" ma:showField="CatchAllData" ma:web="7117ac27-a909-423b-aead-709526a5c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117ac27-a909-423b-aead-709526a5cbd4">
      <UserInfo>
        <DisplayName/>
        <AccountId xsi:nil="true"/>
        <AccountType/>
      </UserInfo>
    </SharedWithUsers>
    <lcf76f155ced4ddcb4097134ff3c332f xmlns="d9d2cd96-5296-41b0-a809-babe4fb4e3cc">
      <Terms xmlns="http://schemas.microsoft.com/office/infopath/2007/PartnerControls"/>
    </lcf76f155ced4ddcb4097134ff3c332f>
    <TaxCatchAll xmlns="7117ac27-a909-423b-aead-709526a5cbd4" xsi:nil="true"/>
  </documentManagement>
</p:properties>
</file>

<file path=customXml/itemProps1.xml><?xml version="1.0" encoding="utf-8"?>
<ds:datastoreItem xmlns:ds="http://schemas.openxmlformats.org/officeDocument/2006/customXml" ds:itemID="{3B35B177-6271-4A03-8B88-711AA6543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9A9841-AF4C-4426-938B-BDD9BA2837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2cd96-5296-41b0-a809-babe4fb4e3cc"/>
    <ds:schemaRef ds:uri="7117ac27-a909-423b-aead-709526a5c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3C1200-7C76-4813-B980-75689D4EC819}">
  <ds:schemaRefs>
    <ds:schemaRef ds:uri="http://schemas.microsoft.com/office/2006/metadata/properties"/>
    <ds:schemaRef ds:uri="http://schemas.microsoft.com/office/infopath/2007/PartnerControls"/>
    <ds:schemaRef ds:uri="7117ac27-a909-423b-aead-709526a5cbd4"/>
    <ds:schemaRef ds:uri="d9d2cd96-5296-41b0-a809-babe4fb4e3cc"/>
  </ds:schemaRefs>
</ds:datastoreItem>
</file>

<file path=docMetadata/LabelInfo.xml><?xml version="1.0" encoding="utf-8"?>
<clbl:labelList xmlns:clbl="http://schemas.microsoft.com/office/2020/mipLabelMetadata">
  <clbl:label id="{24602f72-edba-4c4c-974d-b82b99ab5555}" enabled="1" method="Privileged" siteId="{b9eba725-3559-485c-8d30-2d440f4493c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 Examples</vt:lpstr>
      <vt:lpstr>SE Calculation Example</vt:lpstr>
      <vt:lpstr>Scenario 1</vt:lpstr>
      <vt:lpstr>Scenario 2</vt:lpstr>
      <vt:lpstr>Scenario 3</vt:lpstr>
      <vt:lpstr>Scenario 4</vt:lpstr>
      <vt:lpstr>Draw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Hawk</dc:creator>
  <cp:keywords/>
  <dc:description/>
  <cp:lastModifiedBy>Eric Arnst</cp:lastModifiedBy>
  <cp:revision/>
  <dcterms:created xsi:type="dcterms:W3CDTF">2025-01-08T14:52:02Z</dcterms:created>
  <dcterms:modified xsi:type="dcterms:W3CDTF">2026-04-02T10:10:58Z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314300</vt:r8>
  </property>
  <property fmtid="{D5CDD505-2E9C-101B-9397-08002B2CF9AE}" pid="3" name="ContentTypeId">
    <vt:lpwstr>0x010100400EB5B9F11DD64D8E71A5A713F7BED3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